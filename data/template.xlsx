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Financial Data" sheetId="2" state="visible" r:id="rId2"/>
    <sheet xmlns:r="http://schemas.openxmlformats.org/officeDocument/2006/relationships" name="Common-Size" sheetId="3" state="visible" r:id="rId3"/>
    <sheet xmlns:r="http://schemas.openxmlformats.org/officeDocument/2006/relationships" name="Trend" sheetId="4" state="visible" r:id="rId4"/>
    <sheet xmlns:r="http://schemas.openxmlformats.org/officeDocument/2006/relationships" name="Ratios" sheetId="5" state="visible" r:id="rId5"/>
  </sheets>
  <definedNames/>
  <calcPr calcId="124519" fullCalcOnLoad="1"/>
</workbook>
</file>

<file path=xl/styles.xml><?xml version="1.0" encoding="utf-8"?>
<styleSheet xmlns="http://schemas.openxmlformats.org/spreadsheetml/2006/main">
  <numFmts count="4">
    <numFmt numFmtId="164" formatCode="#,##0.0"/>
    <numFmt numFmtId="165" formatCode="#,##0.0;[Red]-#,##0.0"/>
    <numFmt numFmtId="166" formatCode="0.0%"/>
    <numFmt numFmtId="167" formatCode="0.0"/>
  </numFmts>
  <fonts count="9">
    <font>
      <name val="Calibri"/>
      <family val="2"/>
      <color theme="1"/>
      <sz val="11"/>
      <scheme val="minor"/>
    </font>
    <font>
      <b val="1"/>
      <color rgb="00FFFFFF"/>
      <sz val="14"/>
    </font>
    <font>
      <color rgb="00333333"/>
      <sz val="10"/>
    </font>
    <font>
      <b val="1"/>
      <color rgb="001F3864"/>
      <sz val="11"/>
    </font>
    <font>
      <sz val="10"/>
    </font>
    <font>
      <b val="1"/>
      <color rgb="001F3864"/>
      <sz val="10"/>
    </font>
    <font>
      <i val="1"/>
      <color rgb="00666666"/>
      <sz val="9"/>
    </font>
    <font>
      <b val="1"/>
      <sz val="10"/>
    </font>
    <font>
      <b val="1"/>
      <color rgb="00FFFFFF"/>
      <sz val="11"/>
    </font>
  </fonts>
  <fills count="9">
    <fill>
      <patternFill/>
    </fill>
    <fill>
      <patternFill patternType="gray125"/>
    </fill>
    <fill>
      <patternFill patternType="solid">
        <fgColor rgb="001F3864"/>
      </patternFill>
    </fill>
    <fill>
      <patternFill patternType="solid">
        <fgColor rgb="00FFF2CC"/>
      </patternFill>
    </fill>
    <fill>
      <patternFill patternType="solid">
        <fgColor rgb="00E8F5E9"/>
      </patternFill>
    </fill>
    <fill>
      <patternFill patternType="solid">
        <fgColor rgb="00F2F2F2"/>
      </patternFill>
    </fill>
    <fill>
      <patternFill patternType="solid">
        <fgColor rgb="00DCE6F1"/>
      </patternFill>
    </fill>
    <fill>
      <patternFill patternType="solid">
        <fgColor rgb="002E5C8A"/>
      </patternFill>
    </fill>
    <fill>
      <patternFill patternType="solid">
        <fgColor rgb="00FFE0E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5" fillId="0" borderId="0" pivotButton="0" quotePrefix="0" xfId="0"/>
    <xf numFmtId="0" fontId="0" fillId="3" borderId="1" pivotButton="0" quotePrefix="0" xfId="0"/>
    <xf numFmtId="0" fontId="6" fillId="0" borderId="0" applyAlignment="1" pivotButton="0" quotePrefix="0" xfId="0">
      <alignment vertical="top" wrapText="1"/>
    </xf>
    <xf numFmtId="0" fontId="7" fillId="3" borderId="1" applyAlignment="1" pivotButton="0" quotePrefix="0" xfId="0">
      <alignment horizontal="center"/>
    </xf>
    <xf numFmtId="164" fontId="0" fillId="3" borderId="1" pivotButton="0" quotePrefix="0" xfId="0"/>
    <xf numFmtId="165" fontId="7" fillId="5" borderId="1" pivotButton="0" quotePrefix="0" xfId="0"/>
    <xf numFmtId="0" fontId="7" fillId="6" borderId="1" applyAlignment="1" pivotButton="0" quotePrefix="0" xfId="0">
      <alignment horizontal="center"/>
    </xf>
    <xf numFmtId="166" fontId="0" fillId="4" borderId="1" pivotButton="0" quotePrefix="0" xfId="0"/>
    <xf numFmtId="0" fontId="8" fillId="7" borderId="0" pivotButton="0" quotePrefix="0" xfId="0"/>
    <xf numFmtId="0" fontId="0" fillId="7" borderId="0" pivotButton="0" quotePrefix="0" xfId="0"/>
    <xf numFmtId="0" fontId="6" fillId="5" borderId="1" applyAlignment="1" pivotButton="0" quotePrefix="0" xfId="0">
      <alignment horizontal="center"/>
    </xf>
    <xf numFmtId="0" fontId="0" fillId="5" borderId="1" pivotButton="0" quotePrefix="0" xfId="0"/>
    <xf numFmtId="167" fontId="0" fillId="4" borderId="1" pivotButton="0" quotePrefix="0" xfId="0"/>
    <xf numFmtId="2" fontId="0" fillId="4" borderId="1" pivotButton="0" quotePrefix="0" xfId="0"/>
    <xf numFmtId="0" fontId="6" fillId="0" borderId="0" applyAlignment="1" pivotButton="0" quotePrefix="0" xfId="0">
      <alignment vertical="center"/>
    </xf>
    <xf numFmtId="0" fontId="6" fillId="0" borderId="0" pivotButton="0" quotePrefix="0" xfId="0"/>
    <xf numFmtId="0" fontId="7" fillId="0" borderId="0" pivotButton="0" quotePrefix="0" xfId="0"/>
    <xf numFmtId="10" fontId="0" fillId="5" borderId="1" pivotButton="0" quotePrefix="0" xfId="0"/>
    <xf numFmtId="0" fontId="2"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showGridLines="0" workbookViewId="0">
      <selection activeCell="A1" sqref="A1"/>
    </sheetView>
  </sheetViews>
  <sheetFormatPr baseColWidth="8" defaultRowHeight="15"/>
  <cols>
    <col width="112" customWidth="1" min="1" max="1"/>
  </cols>
  <sheetData>
    <row r="1" ht="22" customHeight="1">
      <c r="A1" s="1" t="inlineStr">
        <is>
          <t>Financial Statement Analysis</t>
        </is>
      </c>
      <c r="B1" s="2" t="n"/>
      <c r="C1" s="2" t="n"/>
      <c r="D1" s="2" t="n"/>
      <c r="E1" s="2" t="n"/>
      <c r="F1" s="2" t="n"/>
      <c r="G1" s="2" t="n"/>
      <c r="H1" s="2" t="n"/>
      <c r="I1" s="2" t="n"/>
    </row>
    <row r="2">
      <c r="A2" s="27" t="inlineStr">
        <is>
          <t>Generated by edgar-query. The Financial Data sheet is already filled from SEC EDGAR; every other sheet is live formulas.</t>
        </is>
      </c>
    </row>
    <row r="5">
      <c r="A5" s="4" t="inlineStr">
        <is>
          <t>What you are building</t>
        </is>
      </c>
    </row>
    <row r="6" ht="28" customHeight="1">
      <c r="A6" s="5" t="inlineStr">
        <is>
          <t>One company. Five fiscal years. Statements, common-size, trend and ratios are all filled in and linked - every analysis cell is a live formula pointing at Financial Data.</t>
        </is>
      </c>
    </row>
    <row r="8">
      <c r="A8" s="4" t="inlineStr">
        <is>
          <t>Colour code</t>
        </is>
      </c>
    </row>
    <row r="9">
      <c r="A9" s="6" t="inlineStr">
        <is>
          <t xml:space="preserve">   Yellow cells = you type the number in.</t>
        </is>
      </c>
      <c r="B9" s="7" t="n"/>
    </row>
    <row r="10">
      <c r="A10" s="6" t="inlineStr">
        <is>
          <t xml:space="preserve">   Green cells = you write the formula.</t>
        </is>
      </c>
      <c r="B10" s="8" t="n"/>
    </row>
    <row r="13">
      <c r="A13" s="4" t="inlineStr">
        <is>
          <t>The sheets, in order</t>
        </is>
      </c>
    </row>
    <row r="14" ht="28" customHeight="1">
      <c r="A14" s="5" t="inlineStr">
        <is>
          <t xml:space="preserve">   Financial Data  -  Filled from SEC EDGAR. Every other sheet links back to it.</t>
        </is>
      </c>
    </row>
    <row r="15" ht="28" customHeight="1">
      <c r="A15" s="5" t="inlineStr">
        <is>
          <t xml:space="preserve">   Common-Size  -  Every income statement line as a % of Revenue. Every balance sheet line as a % of Total Assets.</t>
        </is>
      </c>
    </row>
    <row r="16" ht="28" customHeight="1">
      <c r="A16" s="5" t="inlineStr">
        <is>
          <t xml:space="preserve">   Trend  -  Percent change from one year to the next, plus an indexed view with your earliest year as the base.</t>
        </is>
      </c>
    </row>
    <row r="17" ht="14" customHeight="1">
      <c r="A17" s="5" t="inlineStr">
        <is>
          <t xml:space="preserve">   Ratios  -  Fifteen ratios plus the DuPont decomposition.</t>
        </is>
      </c>
    </row>
    <row r="20">
      <c r="A20" s="4" t="inlineStr">
        <is>
          <t>The one rule about formulas</t>
        </is>
      </c>
    </row>
    <row r="21" ht="42" customHeight="1">
      <c r="A21" s="5" t="inlineStr">
        <is>
          <t>Every green cell must contain a FORMULA that points back to the Financial Data sheet. Do not calculate a number on your phone and type it in. If I click a green cell and see a number instead of a formula, it does not count. A formula looks like ='Financial Data'!C18/'Financial Data'!C26 -- not like 1.47.</t>
        </is>
      </c>
    </row>
    <row r="23">
      <c r="A23" s="4" t="inlineStr">
        <is>
          <t>Why that matters</t>
        </is>
      </c>
    </row>
    <row r="24" ht="42" customHeight="1">
      <c r="A24" s="5" t="inlineStr">
        <is>
          <t>If your numbers are linked, fixing one typo on the Financial Data sheet fixes every analysis at once. If they are typed, you have to find and fix all seventy of them. This is the entire reason finance runs on spreadsheets.</t>
        </is>
      </c>
    </row>
    <row r="26">
      <c r="A26" s="4" t="inlineStr">
        <is>
          <t>Where the data came from</t>
        </is>
      </c>
    </row>
    <row r="27" ht="42" customHeight="1">
      <c r="A27" s="5" t="inlineStr">
        <is>
          <t>SEC EDGAR's XBRL companyfacts API - the figures as originally filed. The Sources tab names the exact US-GAAP tag behind every year of every row, so any number can be traced back to the filing that produced it.</t>
        </is>
      </c>
    </row>
    <row r="28" ht="14" customHeight="1">
      <c r="A28" s="5" t="inlineStr">
        <is>
          <t>A row can draw on more than one tag across the five years. That means the company changed presentation mid-window - a lease standard, a reporting change - and is expected, not an error.</t>
        </is>
      </c>
    </row>
    <row r="29" ht="42" customHeight="1">
      <c r="A29" s="5" t="inlineStr">
        <is>
          <t>Cross-check anything that looks wrong against the filing itself at sec.gov/edgar. Note that a single 10-K carries only TWO years of balance sheet data; the API aggregates across filings to reach five.</t>
        </is>
      </c>
    </row>
    <row r="31">
      <c r="A31" s="4" t="inlineStr">
        <is>
          <t>Two things that trip everyone up</t>
        </is>
      </c>
    </row>
    <row r="32" ht="42" customHeight="1">
      <c r="A32" s="5" t="inlineStr">
        <is>
          <t>1. INTEREST EXPENSE is usually shown as a NEGATIVE number on financial websites (-163.4). Type it in as a POSITIVE number (163.4). It is a cost, and the template already treats it as one. If you leave it negative, Times Interest Earned comes out negative and nothing downstream makes sense.</t>
        </is>
      </c>
    </row>
    <row r="33" ht="28" customHeight="1">
      <c r="A33" s="5" t="inlineStr">
        <is>
          <t>2. Your balance sheet total may be off by a few tenths. That is rounding in the published figures, not your mistake. Off by tens or hundreds IS your mistake.</t>
        </is>
      </c>
    </row>
    <row r="35">
      <c r="A35" s="4" t="inlineStr">
        <is>
          <t>Picking a company</t>
        </is>
      </c>
    </row>
    <row r="36" ht="56" customHeight="1">
      <c r="A36" s="5" t="inlineStr">
        <is>
          <t>Pick a company you have heard of that makes or sells something physical. Avoid banks, insurers, and investment firms -- their balance sheets have no current assets subtotal and most of these ratios will not compute. Avoid companies that lost money in most of the five years; negative net income makes margins and returns hard to read.</t>
        </is>
      </c>
    </row>
    <row r="38">
      <c r="A38" s="4" t="inlineStr">
        <is>
          <t>Before you submit</t>
        </is>
      </c>
    </row>
    <row r="39" ht="14" customHeight="1">
      <c r="A39" s="5" t="inlineStr">
        <is>
          <t xml:space="preserve">   [ ]  The check row on the Financial Data sheet reads within about 1.0 of zero in all five years</t>
        </is>
      </c>
    </row>
    <row r="40" ht="14" customHeight="1">
      <c r="A40" s="5" t="inlineStr">
        <is>
          <t xml:space="preserve">   [ ]  Interest Expense is shown positive (it is a cost; the app already flips the sign)</t>
        </is>
      </c>
    </row>
    <row r="41" ht="14" customHeight="1">
      <c r="A41" s="5" t="inlineStr">
        <is>
          <t xml:space="preserve">   [ ]  Every green cell still contains a formula, not a pasted number</t>
        </is>
      </c>
    </row>
    <row r="42" ht="14" customHeight="1">
      <c r="A42" s="5" t="inlineStr">
        <is>
          <t xml:space="preserve">   [ ]  The DuPont check row on the Ratios sheet shows a difference of zero</t>
        </is>
      </c>
    </row>
    <row r="43" ht="14" customHeight="1">
      <c r="A43" s="5" t="inlineStr">
        <is>
          <t xml:space="preserve">   [ ]  You have not left the TTM column in by mistake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showGridLines="0"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2" customWidth="1" min="2" max="2"/>
    <col width="13" customWidth="1" min="3" max="3"/>
    <col width="13" customWidth="1" min="4" max="4"/>
    <col width="13" customWidth="1" min="5" max="5"/>
    <col width="13" customWidth="1" min="6" max="6"/>
    <col width="13" customWidth="1" min="7" max="7"/>
    <col width="2" customWidth="1" min="8" max="8"/>
    <col width="60" customWidth="1" min="9" max="9"/>
  </cols>
  <sheetData>
    <row r="1" ht="22" customHeight="1">
      <c r="A1" s="1" t="inlineStr">
        <is>
          <t>Financial Data  -  type your five years here</t>
        </is>
      </c>
      <c r="B1" s="2" t="n"/>
      <c r="C1" s="2" t="n"/>
      <c r="D1" s="2" t="n"/>
      <c r="E1" s="2" t="n"/>
      <c r="F1" s="2" t="n"/>
      <c r="G1" s="2" t="n"/>
      <c r="H1" s="2" t="n"/>
      <c r="I1" s="2" t="n"/>
    </row>
    <row r="2">
      <c r="A2" s="3" t="inlineStr">
        <is>
          <t>This is the only sheet where you type numbers. Everything else links back to it.</t>
        </is>
      </c>
    </row>
    <row r="3">
      <c r="A3" s="9" t="inlineStr">
        <is>
          <t>Company name</t>
        </is>
      </c>
      <c r="C3" s="10" t="n"/>
      <c r="I3" s="11" t="inlineStr">
        <is>
          <t>Oldest year on the left, most recent on the right. Keep that order everywhere.</t>
        </is>
      </c>
    </row>
    <row r="4">
      <c r="A4" s="9" t="inlineStr">
        <is>
          <t>Ticker symbol</t>
        </is>
      </c>
      <c r="C4" s="10" t="n"/>
    </row>
    <row r="5">
      <c r="A5" s="9" t="inlineStr">
        <is>
          <t>Units (e.g. millions USD)</t>
        </is>
      </c>
      <c r="C5" s="10" t="n"/>
    </row>
    <row r="6">
      <c r="A6" s="9" t="inlineStr">
        <is>
          <t>Data source (paste the URL)</t>
        </is>
      </c>
      <c r="C6" s="10" t="n"/>
    </row>
    <row r="8">
      <c r="A8" s="9" t="inlineStr">
        <is>
          <t>Fiscal Year</t>
        </is>
      </c>
      <c r="C8" s="12" t="n"/>
      <c r="D8" s="12" t="n"/>
      <c r="E8" s="12" t="n"/>
      <c r="F8" s="12" t="n"/>
      <c r="G8" s="12" t="n"/>
    </row>
    <row r="9">
      <c r="A9" s="9" t="inlineStr">
        <is>
          <t>INCOME STATEMENT</t>
        </is>
      </c>
    </row>
    <row r="10">
      <c r="A10" s="6" t="inlineStr">
        <is>
          <t>Revenue (Net Sales)</t>
        </is>
      </c>
      <c r="C10" s="13" t="n"/>
      <c r="D10" s="13" t="n"/>
      <c r="E10" s="13" t="n"/>
      <c r="F10" s="13" t="n"/>
      <c r="G10" s="13" t="n"/>
    </row>
    <row r="11">
      <c r="A11" s="6" t="inlineStr">
        <is>
          <t>Cost of Revenue (COGS)</t>
        </is>
      </c>
      <c r="C11" s="13" t="n"/>
      <c r="D11" s="13" t="n"/>
      <c r="E11" s="13" t="n"/>
      <c r="F11" s="13" t="n"/>
      <c r="G11" s="13" t="n"/>
    </row>
    <row r="12">
      <c r="A12" s="6" t="inlineStr">
        <is>
          <t>Gross Profit</t>
        </is>
      </c>
      <c r="C12" s="13" t="n"/>
      <c r="D12" s="13" t="n"/>
      <c r="E12" s="13" t="n"/>
      <c r="F12" s="13" t="n"/>
      <c r="G12" s="13" t="n"/>
    </row>
    <row r="13">
      <c r="A13" s="6" t="inlineStr">
        <is>
          <t>Operating Expenses</t>
        </is>
      </c>
      <c r="C13" s="13" t="n"/>
      <c r="D13" s="13" t="n"/>
      <c r="E13" s="13" t="n"/>
      <c r="F13" s="13" t="n"/>
      <c r="G13" s="13" t="n"/>
    </row>
    <row r="14">
      <c r="A14" s="6" t="inlineStr">
        <is>
          <t>Operating Income (EBIT)</t>
        </is>
      </c>
      <c r="C14" s="13" t="n"/>
      <c r="D14" s="13" t="n"/>
      <c r="E14" s="13" t="n"/>
      <c r="F14" s="13" t="n"/>
      <c r="G14" s="13" t="n"/>
    </row>
    <row r="15">
      <c r="A15" s="6" t="inlineStr">
        <is>
          <t>Interest Expense</t>
        </is>
      </c>
      <c r="C15" s="13" t="n"/>
      <c r="D15" s="13" t="n"/>
      <c r="E15" s="13" t="n"/>
      <c r="F15" s="13" t="n"/>
      <c r="G15" s="13" t="n"/>
    </row>
    <row r="16">
      <c r="A16" s="6" t="inlineStr">
        <is>
          <t>Pretax Income</t>
        </is>
      </c>
      <c r="C16" s="13" t="n"/>
      <c r="D16" s="13" t="n"/>
      <c r="E16" s="13" t="n"/>
      <c r="F16" s="13" t="n"/>
      <c r="G16" s="13" t="n"/>
    </row>
    <row r="17">
      <c r="A17" s="6" t="inlineStr">
        <is>
          <t>Income Tax Expense</t>
        </is>
      </c>
      <c r="C17" s="13" t="n"/>
      <c r="D17" s="13" t="n"/>
      <c r="E17" s="13" t="n"/>
      <c r="F17" s="13" t="n"/>
      <c r="G17" s="13" t="n"/>
    </row>
    <row r="18">
      <c r="A18" s="6" t="inlineStr">
        <is>
          <t>Net Income</t>
        </is>
      </c>
      <c r="C18" s="13" t="n"/>
      <c r="D18" s="13" t="n"/>
      <c r="E18" s="13" t="n"/>
      <c r="F18" s="13" t="n"/>
      <c r="G18" s="13" t="n"/>
    </row>
    <row r="20">
      <c r="A20" s="9" t="inlineStr">
        <is>
          <t>BALANCE SHEET - ASSETS</t>
        </is>
      </c>
    </row>
    <row r="21">
      <c r="A21" s="6" t="inlineStr">
        <is>
          <t>Cash &amp; Short-Term Investments</t>
        </is>
      </c>
      <c r="C21" s="13" t="n"/>
      <c r="D21" s="13" t="n"/>
      <c r="E21" s="13" t="n"/>
      <c r="F21" s="13" t="n"/>
      <c r="G21" s="13" t="n"/>
    </row>
    <row r="22">
      <c r="A22" s="6" t="inlineStr">
        <is>
          <t>Accounts Receivable</t>
        </is>
      </c>
      <c r="C22" s="13" t="n"/>
      <c r="D22" s="13" t="n"/>
      <c r="E22" s="13" t="n"/>
      <c r="F22" s="13" t="n"/>
      <c r="G22" s="13" t="n"/>
    </row>
    <row r="23">
      <c r="A23" s="6" t="inlineStr">
        <is>
          <t>Inventory</t>
        </is>
      </c>
      <c r="C23" s="13" t="n"/>
      <c r="D23" s="13" t="n"/>
      <c r="E23" s="13" t="n"/>
      <c r="F23" s="13" t="n"/>
      <c r="G23" s="13" t="n"/>
    </row>
    <row r="24">
      <c r="A24" s="6" t="inlineStr">
        <is>
          <t>Other Current Assets</t>
        </is>
      </c>
      <c r="C24" s="13" t="n"/>
      <c r="D24" s="13" t="n"/>
      <c r="E24" s="13" t="n"/>
      <c r="F24" s="13" t="n"/>
      <c r="G24" s="13" t="n"/>
    </row>
    <row r="25">
      <c r="A25" s="6" t="inlineStr">
        <is>
          <t>Total Current Assets</t>
        </is>
      </c>
      <c r="C25" s="13" t="n"/>
      <c r="D25" s="13" t="n"/>
      <c r="E25" s="13" t="n"/>
      <c r="F25" s="13" t="n"/>
      <c r="G25" s="13" t="n"/>
    </row>
    <row r="26">
      <c r="A26" s="6" t="inlineStr">
        <is>
          <t>Property, Plant &amp; Equipment (net)</t>
        </is>
      </c>
      <c r="C26" s="13" t="n"/>
      <c r="D26" s="13" t="n"/>
      <c r="E26" s="13" t="n"/>
      <c r="F26" s="13" t="n"/>
      <c r="G26" s="13" t="n"/>
    </row>
    <row r="27">
      <c r="A27" s="6" t="inlineStr">
        <is>
          <t>Goodwill &amp; Intangible Assets</t>
        </is>
      </c>
      <c r="C27" s="13" t="n"/>
      <c r="D27" s="13" t="n"/>
      <c r="E27" s="13" t="n"/>
      <c r="F27" s="13" t="n"/>
      <c r="G27" s="13" t="n"/>
    </row>
    <row r="28">
      <c r="A28" s="6" t="inlineStr">
        <is>
          <t>Other Long-Term Assets</t>
        </is>
      </c>
      <c r="C28" s="13" t="n"/>
      <c r="D28" s="13" t="n"/>
      <c r="E28" s="13" t="n"/>
      <c r="F28" s="13" t="n"/>
      <c r="G28" s="13" t="n"/>
    </row>
    <row r="29">
      <c r="A29" s="6" t="inlineStr">
        <is>
          <t>Total Assets</t>
        </is>
      </c>
      <c r="C29" s="13" t="n"/>
      <c r="D29" s="13" t="n"/>
      <c r="E29" s="13" t="n"/>
      <c r="F29" s="13" t="n"/>
      <c r="G29" s="13" t="n"/>
    </row>
    <row r="31">
      <c r="A31" s="9" t="inlineStr">
        <is>
          <t>BALANCE SHEET - LIABILITIES &amp; EQUITY</t>
        </is>
      </c>
    </row>
    <row r="32">
      <c r="A32" s="6" t="inlineStr">
        <is>
          <t>Accounts Payable</t>
        </is>
      </c>
      <c r="C32" s="13" t="n"/>
      <c r="D32" s="13" t="n"/>
      <c r="E32" s="13" t="n"/>
      <c r="F32" s="13" t="n"/>
      <c r="G32" s="13" t="n"/>
    </row>
    <row r="33">
      <c r="A33" s="6" t="inlineStr">
        <is>
          <t>Short-Term Debt &amp; Current Portion of LTD</t>
        </is>
      </c>
      <c r="C33" s="13" t="n"/>
      <c r="D33" s="13" t="n"/>
      <c r="E33" s="13" t="n"/>
      <c r="F33" s="13" t="n"/>
      <c r="G33" s="13" t="n"/>
    </row>
    <row r="34">
      <c r="A34" s="6" t="inlineStr">
        <is>
          <t>Other Current Liabilities</t>
        </is>
      </c>
      <c r="C34" s="13" t="n"/>
      <c r="D34" s="13" t="n"/>
      <c r="E34" s="13" t="n"/>
      <c r="F34" s="13" t="n"/>
      <c r="G34" s="13" t="n"/>
    </row>
    <row r="35">
      <c r="A35" s="6" t="inlineStr">
        <is>
          <t>Total Current Liabilities</t>
        </is>
      </c>
      <c r="C35" s="13" t="n"/>
      <c r="D35" s="13" t="n"/>
      <c r="E35" s="13" t="n"/>
      <c r="F35" s="13" t="n"/>
      <c r="G35" s="13" t="n"/>
    </row>
    <row r="36">
      <c r="A36" s="6" t="inlineStr">
        <is>
          <t>Long-Term Debt</t>
        </is>
      </c>
      <c r="C36" s="13" t="n"/>
      <c r="D36" s="13" t="n"/>
      <c r="E36" s="13" t="n"/>
      <c r="F36" s="13" t="n"/>
      <c r="G36" s="13" t="n"/>
    </row>
    <row r="37">
      <c r="A37" s="6" t="inlineStr">
        <is>
          <t>Other Long-Term Liabilities</t>
        </is>
      </c>
      <c r="C37" s="13" t="n"/>
      <c r="D37" s="13" t="n"/>
      <c r="E37" s="13" t="n"/>
      <c r="F37" s="13" t="n"/>
      <c r="G37" s="13" t="n"/>
    </row>
    <row r="38">
      <c r="A38" s="6" t="inlineStr">
        <is>
          <t>Total Liabilities</t>
        </is>
      </c>
      <c r="C38" s="13" t="n"/>
      <c r="D38" s="13" t="n"/>
      <c r="E38" s="13" t="n"/>
      <c r="F38" s="13" t="n"/>
      <c r="G38" s="13" t="n"/>
    </row>
    <row r="39">
      <c r="A39" s="6" t="inlineStr">
        <is>
          <t>Total Shareholders' Equity</t>
        </is>
      </c>
      <c r="C39" s="13" t="n"/>
      <c r="D39" s="13" t="n"/>
      <c r="E39" s="13" t="n"/>
      <c r="F39" s="13" t="n"/>
      <c r="G39" s="13" t="n"/>
    </row>
    <row r="41">
      <c r="A41" s="9" t="inlineStr">
        <is>
          <t>CHECK: Assets - (Liabilities + Equity)</t>
        </is>
      </c>
      <c r="C41" s="14">
        <f>IF(COUNT(C29,C38,C39)&lt;3,"",C29-(C38+C39))</f>
        <v/>
      </c>
      <c r="D41" s="14">
        <f>IF(COUNT(D29,D38,D39)&lt;3,"",D29-(D38+D39))</f>
        <v/>
      </c>
      <c r="E41" s="14">
        <f>IF(COUNT(E29,E38,E39)&lt;3,"",E29-(E38+E39))</f>
        <v/>
      </c>
      <c r="F41" s="14">
        <f>IF(COUNT(F29,F38,F39)&lt;3,"",F29-(F38+F39))</f>
        <v/>
      </c>
      <c r="G41" s="14">
        <f>IF(COUNT(G29,G38,G39)&lt;3,"",G29-(G38+G39))</f>
        <v/>
      </c>
      <c r="I41" s="11" t="inlineStr">
        <is>
          <t>Should be within about 1.0 of zero in every year. Published figures are rounded, so a few tenths is normal. A number in the tens or hundreds means a typo above, or a line item you left 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showGridLines="0"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2" customWidth="1" min="2" max="2"/>
    <col width="13" customWidth="1" min="3" max="3"/>
    <col width="13" customWidth="1" min="4" max="4"/>
    <col width="13" customWidth="1" min="5" max="5"/>
    <col width="13" customWidth="1" min="6" max="6"/>
    <col width="13" customWidth="1" min="7" max="7"/>
    <col width="2" customWidth="1" min="8" max="8"/>
    <col width="52" customWidth="1" min="9" max="9"/>
  </cols>
  <sheetData>
    <row r="1" ht="22" customHeight="1">
      <c r="A1" s="1" t="inlineStr">
        <is>
          <t>Common-Size Statements</t>
        </is>
      </c>
      <c r="B1" s="2" t="n"/>
      <c r="C1" s="2" t="n"/>
      <c r="D1" s="2" t="n"/>
      <c r="E1" s="2" t="n"/>
      <c r="F1" s="2" t="n"/>
      <c r="G1" s="2" t="n"/>
      <c r="H1" s="2" t="n"/>
      <c r="I1" s="2" t="n"/>
    </row>
    <row r="2">
      <c r="A2" s="3" t="inlineStr">
        <is>
          <t>Income statement as a % of Revenue. Balance sheet as a % of Total Assets.</t>
        </is>
      </c>
    </row>
    <row r="8">
      <c r="A8" s="9" t="inlineStr">
        <is>
          <t>Fiscal Year</t>
        </is>
      </c>
      <c r="C8" s="15">
        <f>'Financial Data'!C8</f>
        <v/>
      </c>
      <c r="D8" s="15">
        <f>'Financial Data'!D8</f>
        <v/>
      </c>
      <c r="E8" s="15">
        <f>'Financial Data'!E8</f>
        <v/>
      </c>
      <c r="F8" s="15">
        <f>'Financial Data'!F8</f>
        <v/>
      </c>
      <c r="G8" s="15">
        <f>'Financial Data'!G8</f>
        <v/>
      </c>
    </row>
    <row r="9" ht="42" customHeight="1">
      <c r="A9" s="9" t="inlineStr">
        <is>
          <t>INCOME STATEMENT</t>
        </is>
      </c>
      <c r="I9" s="11" t="inlineStr">
        <is>
          <t>Divide each income statement line by that year's Revenue. Lock the Revenue row with $ so you can drag the formula down: ='Financial Data'!C10/'Financial Data'!C$10</t>
        </is>
      </c>
    </row>
    <row r="10">
      <c r="A10" s="6" t="inlineStr">
        <is>
          <t>Revenue (Net Sales)</t>
        </is>
      </c>
      <c r="C10" s="16">
        <f>'Financial Data'!C10/'Financial Data'!C$10</f>
        <v/>
      </c>
      <c r="D10" s="16">
        <f>'Financial Data'!D10/'Financial Data'!D$10</f>
        <v/>
      </c>
      <c r="E10" s="16">
        <f>'Financial Data'!E10/'Financial Data'!E$10</f>
        <v/>
      </c>
      <c r="F10" s="16">
        <f>'Financial Data'!F10/'Financial Data'!F$10</f>
        <v/>
      </c>
      <c r="G10" s="16">
        <f>'Financial Data'!G10/'Financial Data'!G$10</f>
        <v/>
      </c>
    </row>
    <row r="11">
      <c r="A11" s="6" t="inlineStr">
        <is>
          <t>Cost of Revenue (COGS)</t>
        </is>
      </c>
      <c r="C11" s="16">
        <f>'Financial Data'!C11/'Financial Data'!C$10</f>
        <v/>
      </c>
      <c r="D11" s="16">
        <f>'Financial Data'!D11/'Financial Data'!D$10</f>
        <v/>
      </c>
      <c r="E11" s="16">
        <f>'Financial Data'!E11/'Financial Data'!E$10</f>
        <v/>
      </c>
      <c r="F11" s="16">
        <f>'Financial Data'!F11/'Financial Data'!F$10</f>
        <v/>
      </c>
      <c r="G11" s="16">
        <f>'Financial Data'!G11/'Financial Data'!G$10</f>
        <v/>
      </c>
    </row>
    <row r="12">
      <c r="A12" s="6" t="inlineStr">
        <is>
          <t>Gross Profit</t>
        </is>
      </c>
      <c r="C12" s="16">
        <f>'Financial Data'!C12/'Financial Data'!C$10</f>
        <v/>
      </c>
      <c r="D12" s="16">
        <f>'Financial Data'!D12/'Financial Data'!D$10</f>
        <v/>
      </c>
      <c r="E12" s="16">
        <f>'Financial Data'!E12/'Financial Data'!E$10</f>
        <v/>
      </c>
      <c r="F12" s="16">
        <f>'Financial Data'!F12/'Financial Data'!F$10</f>
        <v/>
      </c>
      <c r="G12" s="16">
        <f>'Financial Data'!G12/'Financial Data'!G$10</f>
        <v/>
      </c>
    </row>
    <row r="13">
      <c r="A13" s="6" t="inlineStr">
        <is>
          <t>Operating Expenses</t>
        </is>
      </c>
      <c r="C13" s="16">
        <f>'Financial Data'!C13/'Financial Data'!C$10</f>
        <v/>
      </c>
      <c r="D13" s="16">
        <f>'Financial Data'!D13/'Financial Data'!D$10</f>
        <v/>
      </c>
      <c r="E13" s="16">
        <f>'Financial Data'!E13/'Financial Data'!E$10</f>
        <v/>
      </c>
      <c r="F13" s="16">
        <f>'Financial Data'!F13/'Financial Data'!F$10</f>
        <v/>
      </c>
      <c r="G13" s="16">
        <f>'Financial Data'!G13/'Financial Data'!G$10</f>
        <v/>
      </c>
    </row>
    <row r="14">
      <c r="A14" s="6" t="inlineStr">
        <is>
          <t>Operating Income (EBIT)</t>
        </is>
      </c>
      <c r="C14" s="16">
        <f>'Financial Data'!C14/'Financial Data'!C$10</f>
        <v/>
      </c>
      <c r="D14" s="16">
        <f>'Financial Data'!D14/'Financial Data'!D$10</f>
        <v/>
      </c>
      <c r="E14" s="16">
        <f>'Financial Data'!E14/'Financial Data'!E$10</f>
        <v/>
      </c>
      <c r="F14" s="16">
        <f>'Financial Data'!F14/'Financial Data'!F$10</f>
        <v/>
      </c>
      <c r="G14" s="16">
        <f>'Financial Data'!G14/'Financial Data'!G$10</f>
        <v/>
      </c>
    </row>
    <row r="15">
      <c r="A15" s="6" t="inlineStr">
        <is>
          <t>Interest Expense</t>
        </is>
      </c>
      <c r="C15" s="16">
        <f>'Financial Data'!C15/'Financial Data'!C$10</f>
        <v/>
      </c>
      <c r="D15" s="16">
        <f>'Financial Data'!D15/'Financial Data'!D$10</f>
        <v/>
      </c>
      <c r="E15" s="16">
        <f>'Financial Data'!E15/'Financial Data'!E$10</f>
        <v/>
      </c>
      <c r="F15" s="16">
        <f>'Financial Data'!F15/'Financial Data'!F$10</f>
        <v/>
      </c>
      <c r="G15" s="16">
        <f>'Financial Data'!G15/'Financial Data'!G$10</f>
        <v/>
      </c>
    </row>
    <row r="16">
      <c r="A16" s="6" t="inlineStr">
        <is>
          <t>Pretax Income</t>
        </is>
      </c>
      <c r="C16" s="16">
        <f>'Financial Data'!C16/'Financial Data'!C$10</f>
        <v/>
      </c>
      <c r="D16" s="16">
        <f>'Financial Data'!D16/'Financial Data'!D$10</f>
        <v/>
      </c>
      <c r="E16" s="16">
        <f>'Financial Data'!E16/'Financial Data'!E$10</f>
        <v/>
      </c>
      <c r="F16" s="16">
        <f>'Financial Data'!F16/'Financial Data'!F$10</f>
        <v/>
      </c>
      <c r="G16" s="16">
        <f>'Financial Data'!G16/'Financial Data'!G$10</f>
        <v/>
      </c>
    </row>
    <row r="17">
      <c r="A17" s="6" t="inlineStr">
        <is>
          <t>Income Tax Expense</t>
        </is>
      </c>
      <c r="C17" s="16">
        <f>'Financial Data'!C17/'Financial Data'!C$10</f>
        <v/>
      </c>
      <c r="D17" s="16">
        <f>'Financial Data'!D17/'Financial Data'!D$10</f>
        <v/>
      </c>
      <c r="E17" s="16">
        <f>'Financial Data'!E17/'Financial Data'!E$10</f>
        <v/>
      </c>
      <c r="F17" s="16">
        <f>'Financial Data'!F17/'Financial Data'!F$10</f>
        <v/>
      </c>
      <c r="G17" s="16">
        <f>'Financial Data'!G17/'Financial Data'!G$10</f>
        <v/>
      </c>
    </row>
    <row r="18">
      <c r="A18" s="6" t="inlineStr">
        <is>
          <t>Net Income</t>
        </is>
      </c>
      <c r="C18" s="16">
        <f>'Financial Data'!C18/'Financial Data'!C$10</f>
        <v/>
      </c>
      <c r="D18" s="16">
        <f>'Financial Data'!D18/'Financial Data'!D$10</f>
        <v/>
      </c>
      <c r="E18" s="16">
        <f>'Financial Data'!E18/'Financial Data'!E$10</f>
        <v/>
      </c>
      <c r="F18" s="16">
        <f>'Financial Data'!F18/'Financial Data'!F$10</f>
        <v/>
      </c>
      <c r="G18" s="16">
        <f>'Financial Data'!G18/'Financial Data'!G$10</f>
        <v/>
      </c>
    </row>
    <row r="20" ht="30" customHeight="1">
      <c r="A20" s="9" t="inlineStr">
        <is>
          <t>BALANCE SHEET - ASSETS</t>
        </is>
      </c>
      <c r="I20" s="11" t="inlineStr">
        <is>
          <t>Divide each balance sheet line by that year's Total Assets, locked the same way.</t>
        </is>
      </c>
    </row>
    <row r="21">
      <c r="A21" s="6" t="inlineStr">
        <is>
          <t>Cash &amp; Short-Term Investments</t>
        </is>
      </c>
      <c r="C21" s="16">
        <f>'Financial Data'!C21/'Financial Data'!C$29</f>
        <v/>
      </c>
      <c r="D21" s="16">
        <f>'Financial Data'!D21/'Financial Data'!D$29</f>
        <v/>
      </c>
      <c r="E21" s="16">
        <f>'Financial Data'!E21/'Financial Data'!E$29</f>
        <v/>
      </c>
      <c r="F21" s="16">
        <f>'Financial Data'!F21/'Financial Data'!F$29</f>
        <v/>
      </c>
      <c r="G21" s="16">
        <f>'Financial Data'!G21/'Financial Data'!G$29</f>
        <v/>
      </c>
    </row>
    <row r="22">
      <c r="A22" s="6" t="inlineStr">
        <is>
          <t>Accounts Receivable</t>
        </is>
      </c>
      <c r="C22" s="16">
        <f>'Financial Data'!C22/'Financial Data'!C$29</f>
        <v/>
      </c>
      <c r="D22" s="16">
        <f>'Financial Data'!D22/'Financial Data'!D$29</f>
        <v/>
      </c>
      <c r="E22" s="16">
        <f>'Financial Data'!E22/'Financial Data'!E$29</f>
        <v/>
      </c>
      <c r="F22" s="16">
        <f>'Financial Data'!F22/'Financial Data'!F$29</f>
        <v/>
      </c>
      <c r="G22" s="16">
        <f>'Financial Data'!G22/'Financial Data'!G$29</f>
        <v/>
      </c>
    </row>
    <row r="23">
      <c r="A23" s="6" t="inlineStr">
        <is>
          <t>Inventory</t>
        </is>
      </c>
      <c r="C23" s="16">
        <f>'Financial Data'!C23/'Financial Data'!C$29</f>
        <v/>
      </c>
      <c r="D23" s="16">
        <f>'Financial Data'!D23/'Financial Data'!D$29</f>
        <v/>
      </c>
      <c r="E23" s="16">
        <f>'Financial Data'!E23/'Financial Data'!E$29</f>
        <v/>
      </c>
      <c r="F23" s="16">
        <f>'Financial Data'!F23/'Financial Data'!F$29</f>
        <v/>
      </c>
      <c r="G23" s="16">
        <f>'Financial Data'!G23/'Financial Data'!G$29</f>
        <v/>
      </c>
    </row>
    <row r="24">
      <c r="A24" s="6" t="inlineStr">
        <is>
          <t>Other Current Assets</t>
        </is>
      </c>
      <c r="C24" s="16">
        <f>'Financial Data'!C24/'Financial Data'!C$29</f>
        <v/>
      </c>
      <c r="D24" s="16">
        <f>'Financial Data'!D24/'Financial Data'!D$29</f>
        <v/>
      </c>
      <c r="E24" s="16">
        <f>'Financial Data'!E24/'Financial Data'!E$29</f>
        <v/>
      </c>
      <c r="F24" s="16">
        <f>'Financial Data'!F24/'Financial Data'!F$29</f>
        <v/>
      </c>
      <c r="G24" s="16">
        <f>'Financial Data'!G24/'Financial Data'!G$29</f>
        <v/>
      </c>
    </row>
    <row r="25">
      <c r="A25" s="6" t="inlineStr">
        <is>
          <t>Total Current Assets</t>
        </is>
      </c>
      <c r="C25" s="16">
        <f>'Financial Data'!C25/'Financial Data'!C$29</f>
        <v/>
      </c>
      <c r="D25" s="16">
        <f>'Financial Data'!D25/'Financial Data'!D$29</f>
        <v/>
      </c>
      <c r="E25" s="16">
        <f>'Financial Data'!E25/'Financial Data'!E$29</f>
        <v/>
      </c>
      <c r="F25" s="16">
        <f>'Financial Data'!F25/'Financial Data'!F$29</f>
        <v/>
      </c>
      <c r="G25" s="16">
        <f>'Financial Data'!G25/'Financial Data'!G$29</f>
        <v/>
      </c>
    </row>
    <row r="26">
      <c r="A26" s="6" t="inlineStr">
        <is>
          <t>Property, Plant &amp; Equipment (net)</t>
        </is>
      </c>
      <c r="C26" s="16">
        <f>'Financial Data'!C26/'Financial Data'!C$29</f>
        <v/>
      </c>
      <c r="D26" s="16">
        <f>'Financial Data'!D26/'Financial Data'!D$29</f>
        <v/>
      </c>
      <c r="E26" s="16">
        <f>'Financial Data'!E26/'Financial Data'!E$29</f>
        <v/>
      </c>
      <c r="F26" s="16">
        <f>'Financial Data'!F26/'Financial Data'!F$29</f>
        <v/>
      </c>
      <c r="G26" s="16">
        <f>'Financial Data'!G26/'Financial Data'!G$29</f>
        <v/>
      </c>
    </row>
    <row r="27">
      <c r="A27" s="6" t="inlineStr">
        <is>
          <t>Goodwill &amp; Intangible Assets</t>
        </is>
      </c>
      <c r="C27" s="16">
        <f>'Financial Data'!C27/'Financial Data'!C$29</f>
        <v/>
      </c>
      <c r="D27" s="16">
        <f>'Financial Data'!D27/'Financial Data'!D$29</f>
        <v/>
      </c>
      <c r="E27" s="16">
        <f>'Financial Data'!E27/'Financial Data'!E$29</f>
        <v/>
      </c>
      <c r="F27" s="16">
        <f>'Financial Data'!F27/'Financial Data'!F$29</f>
        <v/>
      </c>
      <c r="G27" s="16">
        <f>'Financial Data'!G27/'Financial Data'!G$29</f>
        <v/>
      </c>
    </row>
    <row r="28">
      <c r="A28" s="6" t="inlineStr">
        <is>
          <t>Other Long-Term Assets</t>
        </is>
      </c>
      <c r="C28" s="16">
        <f>'Financial Data'!C28/'Financial Data'!C$29</f>
        <v/>
      </c>
      <c r="D28" s="16">
        <f>'Financial Data'!D28/'Financial Data'!D$29</f>
        <v/>
      </c>
      <c r="E28" s="16">
        <f>'Financial Data'!E28/'Financial Data'!E$29</f>
        <v/>
      </c>
      <c r="F28" s="16">
        <f>'Financial Data'!F28/'Financial Data'!F$29</f>
        <v/>
      </c>
      <c r="G28" s="16">
        <f>'Financial Data'!G28/'Financial Data'!G$29</f>
        <v/>
      </c>
    </row>
    <row r="29">
      <c r="A29" s="6" t="inlineStr">
        <is>
          <t>Total Assets</t>
        </is>
      </c>
      <c r="C29" s="16">
        <f>'Financial Data'!C29/'Financial Data'!C$29</f>
        <v/>
      </c>
      <c r="D29" s="16">
        <f>'Financial Data'!D29/'Financial Data'!D$29</f>
        <v/>
      </c>
      <c r="E29" s="16">
        <f>'Financial Data'!E29/'Financial Data'!E$29</f>
        <v/>
      </c>
      <c r="F29" s="16">
        <f>'Financial Data'!F29/'Financial Data'!F$29</f>
        <v/>
      </c>
      <c r="G29" s="16">
        <f>'Financial Data'!G29/'Financial Data'!G$29</f>
        <v/>
      </c>
    </row>
    <row r="31">
      <c r="A31" s="9" t="inlineStr">
        <is>
          <t>BALANCE SHEET - LIABILITIES &amp; EQUITY</t>
        </is>
      </c>
    </row>
    <row r="32">
      <c r="A32" s="6" t="inlineStr">
        <is>
          <t>Accounts Payable</t>
        </is>
      </c>
      <c r="C32" s="16">
        <f>'Financial Data'!C32/'Financial Data'!C$29</f>
        <v/>
      </c>
      <c r="D32" s="16">
        <f>'Financial Data'!D32/'Financial Data'!D$29</f>
        <v/>
      </c>
      <c r="E32" s="16">
        <f>'Financial Data'!E32/'Financial Data'!E$29</f>
        <v/>
      </c>
      <c r="F32" s="16">
        <f>'Financial Data'!F32/'Financial Data'!F$29</f>
        <v/>
      </c>
      <c r="G32" s="16">
        <f>'Financial Data'!G32/'Financial Data'!G$29</f>
        <v/>
      </c>
    </row>
    <row r="33">
      <c r="A33" s="6" t="inlineStr">
        <is>
          <t>Short-Term Debt &amp; Current Portion of LTD</t>
        </is>
      </c>
      <c r="C33" s="16">
        <f>'Financial Data'!C33/'Financial Data'!C$29</f>
        <v/>
      </c>
      <c r="D33" s="16">
        <f>'Financial Data'!D33/'Financial Data'!D$29</f>
        <v/>
      </c>
      <c r="E33" s="16">
        <f>'Financial Data'!E33/'Financial Data'!E$29</f>
        <v/>
      </c>
      <c r="F33" s="16">
        <f>'Financial Data'!F33/'Financial Data'!F$29</f>
        <v/>
      </c>
      <c r="G33" s="16">
        <f>'Financial Data'!G33/'Financial Data'!G$29</f>
        <v/>
      </c>
    </row>
    <row r="34">
      <c r="A34" s="6" t="inlineStr">
        <is>
          <t>Other Current Liabilities</t>
        </is>
      </c>
      <c r="C34" s="16">
        <f>'Financial Data'!C34/'Financial Data'!C$29</f>
        <v/>
      </c>
      <c r="D34" s="16">
        <f>'Financial Data'!D34/'Financial Data'!D$29</f>
        <v/>
      </c>
      <c r="E34" s="16">
        <f>'Financial Data'!E34/'Financial Data'!E$29</f>
        <v/>
      </c>
      <c r="F34" s="16">
        <f>'Financial Data'!F34/'Financial Data'!F$29</f>
        <v/>
      </c>
      <c r="G34" s="16">
        <f>'Financial Data'!G34/'Financial Data'!G$29</f>
        <v/>
      </c>
    </row>
    <row r="35">
      <c r="A35" s="6" t="inlineStr">
        <is>
          <t>Total Current Liabilities</t>
        </is>
      </c>
      <c r="C35" s="16">
        <f>'Financial Data'!C35/'Financial Data'!C$29</f>
        <v/>
      </c>
      <c r="D35" s="16">
        <f>'Financial Data'!D35/'Financial Data'!D$29</f>
        <v/>
      </c>
      <c r="E35" s="16">
        <f>'Financial Data'!E35/'Financial Data'!E$29</f>
        <v/>
      </c>
      <c r="F35" s="16">
        <f>'Financial Data'!F35/'Financial Data'!F$29</f>
        <v/>
      </c>
      <c r="G35" s="16">
        <f>'Financial Data'!G35/'Financial Data'!G$29</f>
        <v/>
      </c>
    </row>
    <row r="36">
      <c r="A36" s="6" t="inlineStr">
        <is>
          <t>Long-Term Debt</t>
        </is>
      </c>
      <c r="C36" s="16">
        <f>'Financial Data'!C36/'Financial Data'!C$29</f>
        <v/>
      </c>
      <c r="D36" s="16">
        <f>'Financial Data'!D36/'Financial Data'!D$29</f>
        <v/>
      </c>
      <c r="E36" s="16">
        <f>'Financial Data'!E36/'Financial Data'!E$29</f>
        <v/>
      </c>
      <c r="F36" s="16">
        <f>'Financial Data'!F36/'Financial Data'!F$29</f>
        <v/>
      </c>
      <c r="G36" s="16">
        <f>'Financial Data'!G36/'Financial Data'!G$29</f>
        <v/>
      </c>
    </row>
    <row r="37">
      <c r="A37" s="6" t="inlineStr">
        <is>
          <t>Other Long-Term Liabilities</t>
        </is>
      </c>
      <c r="C37" s="16">
        <f>'Financial Data'!C37/'Financial Data'!C$29</f>
        <v/>
      </c>
      <c r="D37" s="16">
        <f>'Financial Data'!D37/'Financial Data'!D$29</f>
        <v/>
      </c>
      <c r="E37" s="16">
        <f>'Financial Data'!E37/'Financial Data'!E$29</f>
        <v/>
      </c>
      <c r="F37" s="16">
        <f>'Financial Data'!F37/'Financial Data'!F$29</f>
        <v/>
      </c>
      <c r="G37" s="16">
        <f>'Financial Data'!G37/'Financial Data'!G$29</f>
        <v/>
      </c>
    </row>
    <row r="38">
      <c r="A38" s="6" t="inlineStr">
        <is>
          <t>Total Liabilities</t>
        </is>
      </c>
      <c r="C38" s="16">
        <f>'Financial Data'!C38/'Financial Data'!C$29</f>
        <v/>
      </c>
      <c r="D38" s="16">
        <f>'Financial Data'!D38/'Financial Data'!D$29</f>
        <v/>
      </c>
      <c r="E38" s="16">
        <f>'Financial Data'!E38/'Financial Data'!E$29</f>
        <v/>
      </c>
      <c r="F38" s="16">
        <f>'Financial Data'!F38/'Financial Data'!F$29</f>
        <v/>
      </c>
      <c r="G38" s="16">
        <f>'Financial Data'!G38/'Financial Data'!G$29</f>
        <v/>
      </c>
    </row>
    <row r="39">
      <c r="A39" s="6" t="inlineStr">
        <is>
          <t>Total Shareholders' Equity</t>
        </is>
      </c>
      <c r="C39" s="16">
        <f>'Financial Data'!C39/'Financial Data'!C$29</f>
        <v/>
      </c>
      <c r="D39" s="16">
        <f>'Financial Data'!D39/'Financial Data'!D$29</f>
        <v/>
      </c>
      <c r="E39" s="16">
        <f>'Financial Data'!E39/'Financial Data'!E$29</f>
        <v/>
      </c>
      <c r="F39" s="16">
        <f>'Financial Data'!F39/'Financial Data'!F$29</f>
        <v/>
      </c>
      <c r="G39" s="16">
        <f>'Financial Data'!G39/'Financial Data'!G$29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46" customWidth="1" min="1" max="1"/>
    <col width="2" customWidth="1" min="2" max="2"/>
    <col width="13" customWidth="1" min="3" max="3"/>
    <col width="13" customWidth="1" min="4" max="4"/>
    <col width="13" customWidth="1" min="5" max="5"/>
    <col width="13" customWidth="1" min="6" max="6"/>
    <col width="13" customWidth="1" min="7" max="7"/>
    <col width="2" customWidth="1" min="8" max="8"/>
    <col width="52" customWidth="1" min="9" max="9"/>
  </cols>
  <sheetData>
    <row r="1" ht="22" customHeight="1">
      <c r="A1" s="1" t="inlineStr">
        <is>
          <t>Trend Analysis</t>
        </is>
      </c>
      <c r="B1" s="2" t="n"/>
      <c r="C1" s="2" t="n"/>
      <c r="D1" s="2" t="n"/>
      <c r="E1" s="2" t="n"/>
      <c r="F1" s="2" t="n"/>
      <c r="G1" s="2" t="n"/>
      <c r="H1" s="2" t="n"/>
      <c r="I1" s="2" t="n"/>
    </row>
    <row r="2">
      <c r="A2" s="3" t="inlineStr">
        <is>
          <t>How each line moved over five years - first year over year, then indexed to your earliest year.</t>
        </is>
      </c>
    </row>
    <row r="4">
      <c r="A4" s="17" t="inlineStr">
        <is>
          <t>PART 1  -  Percent change from the prior year</t>
        </is>
      </c>
      <c r="B4" s="18" t="n"/>
      <c r="C4" s="18" t="n"/>
      <c r="D4" s="18" t="n"/>
      <c r="E4" s="18" t="n"/>
      <c r="F4" s="18" t="n"/>
      <c r="G4" s="18" t="n"/>
      <c r="H4" s="18" t="n"/>
      <c r="I4" s="18" t="n"/>
    </row>
    <row r="5">
      <c r="A5" s="9" t="inlineStr">
        <is>
          <t>Fiscal Year</t>
        </is>
      </c>
      <c r="C5" s="19" t="inlineStr">
        <is>
          <t>base year</t>
        </is>
      </c>
      <c r="D5" s="15">
        <f>'Financial Data'!D8</f>
        <v/>
      </c>
      <c r="E5" s="15">
        <f>'Financial Data'!E8</f>
        <v/>
      </c>
      <c r="F5" s="15">
        <f>'Financial Data'!F8</f>
        <v/>
      </c>
      <c r="G5" s="15">
        <f>'Financial Data'!G8</f>
        <v/>
      </c>
    </row>
    <row r="6" ht="42" customHeight="1">
      <c r="A6" s="6" t="inlineStr">
        <is>
          <t>Revenue (Net Sales)</t>
        </is>
      </c>
      <c r="C6" s="20" t="n"/>
      <c r="D6" s="16">
        <f>('Financial Data'!D10-'Financial Data'!C10)/'Financial Data'!C10</f>
        <v/>
      </c>
      <c r="E6" s="16">
        <f>('Financial Data'!E10-'Financial Data'!D10)/'Financial Data'!D10</f>
        <v/>
      </c>
      <c r="F6" s="16">
        <f>('Financial Data'!F10-'Financial Data'!E10)/'Financial Data'!E10</f>
        <v/>
      </c>
      <c r="G6" s="16">
        <f>('Financial Data'!G10-'Financial Data'!F10)/'Financial Data'!F10</f>
        <v/>
      </c>
      <c r="I6" s="11" t="inlineStr">
        <is>
          <t>(This year - Last year) / Last year. There is no percent change for your earliest year because there is nothing before it.</t>
        </is>
      </c>
    </row>
    <row r="7">
      <c r="A7" s="6" t="inlineStr">
        <is>
          <t>Cost of Revenue (COGS)</t>
        </is>
      </c>
      <c r="C7" s="20" t="n"/>
      <c r="D7" s="16">
        <f>('Financial Data'!D11-'Financial Data'!C11)/'Financial Data'!C11</f>
        <v/>
      </c>
      <c r="E7" s="16">
        <f>('Financial Data'!E11-'Financial Data'!D11)/'Financial Data'!D11</f>
        <v/>
      </c>
      <c r="F7" s="16">
        <f>('Financial Data'!F11-'Financial Data'!E11)/'Financial Data'!E11</f>
        <v/>
      </c>
      <c r="G7" s="16">
        <f>('Financial Data'!G11-'Financial Data'!F11)/'Financial Data'!F11</f>
        <v/>
      </c>
    </row>
    <row r="8">
      <c r="A8" s="6" t="inlineStr">
        <is>
          <t>Gross Profit</t>
        </is>
      </c>
      <c r="C8" s="20" t="n"/>
      <c r="D8" s="16">
        <f>('Financial Data'!D12-'Financial Data'!C12)/'Financial Data'!C12</f>
        <v/>
      </c>
      <c r="E8" s="16">
        <f>('Financial Data'!E12-'Financial Data'!D12)/'Financial Data'!D12</f>
        <v/>
      </c>
      <c r="F8" s="16">
        <f>('Financial Data'!F12-'Financial Data'!E12)/'Financial Data'!E12</f>
        <v/>
      </c>
      <c r="G8" s="16">
        <f>('Financial Data'!G12-'Financial Data'!F12)/'Financial Data'!F12</f>
        <v/>
      </c>
    </row>
    <row r="9">
      <c r="A9" s="6" t="inlineStr">
        <is>
          <t>Operating Income (EBIT)</t>
        </is>
      </c>
      <c r="C9" s="20" t="n"/>
      <c r="D9" s="16">
        <f>('Financial Data'!D14-'Financial Data'!C14)/'Financial Data'!C14</f>
        <v/>
      </c>
      <c r="E9" s="16">
        <f>('Financial Data'!E14-'Financial Data'!D14)/'Financial Data'!D14</f>
        <v/>
      </c>
      <c r="F9" s="16">
        <f>('Financial Data'!F14-'Financial Data'!E14)/'Financial Data'!E14</f>
        <v/>
      </c>
      <c r="G9" s="16">
        <f>('Financial Data'!G14-'Financial Data'!F14)/'Financial Data'!F14</f>
        <v/>
      </c>
    </row>
    <row r="10">
      <c r="A10" s="6" t="inlineStr">
        <is>
          <t>Net Income</t>
        </is>
      </c>
      <c r="C10" s="20" t="n"/>
      <c r="D10" s="16">
        <f>('Financial Data'!D18-'Financial Data'!C18)/'Financial Data'!C18</f>
        <v/>
      </c>
      <c r="E10" s="16">
        <f>('Financial Data'!E18-'Financial Data'!D18)/'Financial Data'!D18</f>
        <v/>
      </c>
      <c r="F10" s="16">
        <f>('Financial Data'!F18-'Financial Data'!E18)/'Financial Data'!E18</f>
        <v/>
      </c>
      <c r="G10" s="16">
        <f>('Financial Data'!G18-'Financial Data'!F18)/'Financial Data'!F18</f>
        <v/>
      </c>
    </row>
    <row r="11">
      <c r="A11" s="6" t="inlineStr">
        <is>
          <t>Inventory</t>
        </is>
      </c>
      <c r="C11" s="20" t="n"/>
      <c r="D11" s="16">
        <f>('Financial Data'!D23-'Financial Data'!C23)/'Financial Data'!C23</f>
        <v/>
      </c>
      <c r="E11" s="16">
        <f>('Financial Data'!E23-'Financial Data'!D23)/'Financial Data'!D23</f>
        <v/>
      </c>
      <c r="F11" s="16">
        <f>('Financial Data'!F23-'Financial Data'!E23)/'Financial Data'!E23</f>
        <v/>
      </c>
      <c r="G11" s="16">
        <f>('Financial Data'!G23-'Financial Data'!F23)/'Financial Data'!F23</f>
        <v/>
      </c>
    </row>
    <row r="12">
      <c r="A12" s="6" t="inlineStr">
        <is>
          <t>Total Current Assets</t>
        </is>
      </c>
      <c r="C12" s="20" t="n"/>
      <c r="D12" s="16">
        <f>('Financial Data'!D25-'Financial Data'!C25)/'Financial Data'!C25</f>
        <v/>
      </c>
      <c r="E12" s="16">
        <f>('Financial Data'!E25-'Financial Data'!D25)/'Financial Data'!D25</f>
        <v/>
      </c>
      <c r="F12" s="16">
        <f>('Financial Data'!F25-'Financial Data'!E25)/'Financial Data'!E25</f>
        <v/>
      </c>
      <c r="G12" s="16">
        <f>('Financial Data'!G25-'Financial Data'!F25)/'Financial Data'!F25</f>
        <v/>
      </c>
    </row>
    <row r="13">
      <c r="A13" s="6" t="inlineStr">
        <is>
          <t>Total Assets</t>
        </is>
      </c>
      <c r="C13" s="20" t="n"/>
      <c r="D13" s="16">
        <f>('Financial Data'!D29-'Financial Data'!C29)/'Financial Data'!C29</f>
        <v/>
      </c>
      <c r="E13" s="16">
        <f>('Financial Data'!E29-'Financial Data'!D29)/'Financial Data'!D29</f>
        <v/>
      </c>
      <c r="F13" s="16">
        <f>('Financial Data'!F29-'Financial Data'!E29)/'Financial Data'!E29</f>
        <v/>
      </c>
      <c r="G13" s="16">
        <f>('Financial Data'!G29-'Financial Data'!F29)/'Financial Data'!F29</f>
        <v/>
      </c>
    </row>
    <row r="14">
      <c r="A14" s="6" t="inlineStr">
        <is>
          <t>Total Liabilities</t>
        </is>
      </c>
      <c r="C14" s="20" t="n"/>
      <c r="D14" s="16">
        <f>('Financial Data'!D38-'Financial Data'!C38)/'Financial Data'!C38</f>
        <v/>
      </c>
      <c r="E14" s="16">
        <f>('Financial Data'!E38-'Financial Data'!D38)/'Financial Data'!D38</f>
        <v/>
      </c>
      <c r="F14" s="16">
        <f>('Financial Data'!F38-'Financial Data'!E38)/'Financial Data'!E38</f>
        <v/>
      </c>
      <c r="G14" s="16">
        <f>('Financial Data'!G38-'Financial Data'!F38)/'Financial Data'!F38</f>
        <v/>
      </c>
    </row>
    <row r="15">
      <c r="A15" s="6" t="inlineStr">
        <is>
          <t>Total Shareholders' Equity</t>
        </is>
      </c>
      <c r="C15" s="20" t="n"/>
      <c r="D15" s="16">
        <f>('Financial Data'!D39-'Financial Data'!C39)/'Financial Data'!C39</f>
        <v/>
      </c>
      <c r="E15" s="16">
        <f>('Financial Data'!E39-'Financial Data'!D39)/'Financial Data'!D39</f>
        <v/>
      </c>
      <c r="F15" s="16">
        <f>('Financial Data'!F39-'Financial Data'!E39)/'Financial Data'!E39</f>
        <v/>
      </c>
      <c r="G15" s="16">
        <f>('Financial Data'!G39-'Financial Data'!F39)/'Financial Data'!F39</f>
        <v/>
      </c>
    </row>
    <row r="18">
      <c r="A18" s="17" t="inlineStr">
        <is>
          <t>PART 2  -  Indexed to your earliest year (base = 100)</t>
        </is>
      </c>
      <c r="B18" s="18" t="n"/>
      <c r="C18" s="18" t="n"/>
      <c r="D18" s="18" t="n"/>
      <c r="E18" s="18" t="n"/>
      <c r="F18" s="18" t="n"/>
      <c r="G18" s="18" t="n"/>
      <c r="H18" s="18" t="n"/>
      <c r="I18" s="18" t="n"/>
    </row>
    <row r="19">
      <c r="A19" s="9" t="inlineStr">
        <is>
          <t>Fiscal Year</t>
        </is>
      </c>
      <c r="C19" s="15">
        <f>'Financial Data'!C8</f>
        <v/>
      </c>
      <c r="D19" s="15">
        <f>'Financial Data'!D8</f>
        <v/>
      </c>
      <c r="E19" s="15">
        <f>'Financial Data'!E8</f>
        <v/>
      </c>
      <c r="F19" s="15">
        <f>'Financial Data'!F8</f>
        <v/>
      </c>
      <c r="G19" s="15">
        <f>'Financial Data'!G8</f>
        <v/>
      </c>
    </row>
    <row r="20" ht="45" customHeight="1">
      <c r="A20" s="6" t="inlineStr">
        <is>
          <t>Revenue (Net Sales)</t>
        </is>
      </c>
      <c r="C20" s="21">
        <f>'Financial Data'!C10/'Financial Data'!$C$10*100</f>
        <v/>
      </c>
      <c r="D20" s="21">
        <f>'Financial Data'!D10/'Financial Data'!$C$10*100</f>
        <v/>
      </c>
      <c r="E20" s="21">
        <f>'Financial Data'!E10/'Financial Data'!$C$10*100</f>
        <v/>
      </c>
      <c r="F20" s="21">
        <f>'Financial Data'!F10/'Financial Data'!$C$10*100</f>
        <v/>
      </c>
      <c r="G20" s="21">
        <f>'Financial Data'!G10/'Financial Data'!$C$10*100</f>
        <v/>
      </c>
      <c r="I20" s="11" t="inlineStr">
        <is>
          <t>Year N / earliest year x 100. Your earliest year will come out to exactly 100.0 - that is the check that you did it right. Lock the base year column with $.</t>
        </is>
      </c>
    </row>
    <row r="21">
      <c r="A21" s="6" t="inlineStr">
        <is>
          <t>Cost of Revenue (COGS)</t>
        </is>
      </c>
      <c r="C21" s="21">
        <f>'Financial Data'!C11/'Financial Data'!$C$11*100</f>
        <v/>
      </c>
      <c r="D21" s="21">
        <f>'Financial Data'!D11/'Financial Data'!$C$11*100</f>
        <v/>
      </c>
      <c r="E21" s="21">
        <f>'Financial Data'!E11/'Financial Data'!$C$11*100</f>
        <v/>
      </c>
      <c r="F21" s="21">
        <f>'Financial Data'!F11/'Financial Data'!$C$11*100</f>
        <v/>
      </c>
      <c r="G21" s="21">
        <f>'Financial Data'!G11/'Financial Data'!$C$11*100</f>
        <v/>
      </c>
    </row>
    <row r="22">
      <c r="A22" s="6" t="inlineStr">
        <is>
          <t>Gross Profit</t>
        </is>
      </c>
      <c r="C22" s="21">
        <f>'Financial Data'!C12/'Financial Data'!$C$12*100</f>
        <v/>
      </c>
      <c r="D22" s="21">
        <f>'Financial Data'!D12/'Financial Data'!$C$12*100</f>
        <v/>
      </c>
      <c r="E22" s="21">
        <f>'Financial Data'!E12/'Financial Data'!$C$12*100</f>
        <v/>
      </c>
      <c r="F22" s="21">
        <f>'Financial Data'!F12/'Financial Data'!$C$12*100</f>
        <v/>
      </c>
      <c r="G22" s="21">
        <f>'Financial Data'!G12/'Financial Data'!$C$12*100</f>
        <v/>
      </c>
    </row>
    <row r="23">
      <c r="A23" s="6" t="inlineStr">
        <is>
          <t>Operating Income (EBIT)</t>
        </is>
      </c>
      <c r="C23" s="21">
        <f>'Financial Data'!C14/'Financial Data'!$C$14*100</f>
        <v/>
      </c>
      <c r="D23" s="21">
        <f>'Financial Data'!D14/'Financial Data'!$C$14*100</f>
        <v/>
      </c>
      <c r="E23" s="21">
        <f>'Financial Data'!E14/'Financial Data'!$C$14*100</f>
        <v/>
      </c>
      <c r="F23" s="21">
        <f>'Financial Data'!F14/'Financial Data'!$C$14*100</f>
        <v/>
      </c>
      <c r="G23" s="21">
        <f>'Financial Data'!G14/'Financial Data'!$C$14*100</f>
        <v/>
      </c>
    </row>
    <row r="24">
      <c r="A24" s="6" t="inlineStr">
        <is>
          <t>Net Income</t>
        </is>
      </c>
      <c r="C24" s="21">
        <f>'Financial Data'!C18/'Financial Data'!$C$18*100</f>
        <v/>
      </c>
      <c r="D24" s="21">
        <f>'Financial Data'!D18/'Financial Data'!$C$18*100</f>
        <v/>
      </c>
      <c r="E24" s="21">
        <f>'Financial Data'!E18/'Financial Data'!$C$18*100</f>
        <v/>
      </c>
      <c r="F24" s="21">
        <f>'Financial Data'!F18/'Financial Data'!$C$18*100</f>
        <v/>
      </c>
      <c r="G24" s="21">
        <f>'Financial Data'!G18/'Financial Data'!$C$18*100</f>
        <v/>
      </c>
    </row>
    <row r="25">
      <c r="A25" s="6" t="inlineStr">
        <is>
          <t>Inventory</t>
        </is>
      </c>
      <c r="C25" s="21">
        <f>'Financial Data'!C23/'Financial Data'!$C$23*100</f>
        <v/>
      </c>
      <c r="D25" s="21">
        <f>'Financial Data'!D23/'Financial Data'!$C$23*100</f>
        <v/>
      </c>
      <c r="E25" s="21">
        <f>'Financial Data'!E23/'Financial Data'!$C$23*100</f>
        <v/>
      </c>
      <c r="F25" s="21">
        <f>'Financial Data'!F23/'Financial Data'!$C$23*100</f>
        <v/>
      </c>
      <c r="G25" s="21">
        <f>'Financial Data'!G23/'Financial Data'!$C$23*100</f>
        <v/>
      </c>
    </row>
    <row r="26">
      <c r="A26" s="6" t="inlineStr">
        <is>
          <t>Total Current Assets</t>
        </is>
      </c>
      <c r="C26" s="21">
        <f>'Financial Data'!C25/'Financial Data'!$C$25*100</f>
        <v/>
      </c>
      <c r="D26" s="21">
        <f>'Financial Data'!D25/'Financial Data'!$C$25*100</f>
        <v/>
      </c>
      <c r="E26" s="21">
        <f>'Financial Data'!E25/'Financial Data'!$C$25*100</f>
        <v/>
      </c>
      <c r="F26" s="21">
        <f>'Financial Data'!F25/'Financial Data'!$C$25*100</f>
        <v/>
      </c>
      <c r="G26" s="21">
        <f>'Financial Data'!G25/'Financial Data'!$C$25*100</f>
        <v/>
      </c>
    </row>
    <row r="27">
      <c r="A27" s="6" t="inlineStr">
        <is>
          <t>Total Assets</t>
        </is>
      </c>
      <c r="C27" s="21">
        <f>'Financial Data'!C29/'Financial Data'!$C$29*100</f>
        <v/>
      </c>
      <c r="D27" s="21">
        <f>'Financial Data'!D29/'Financial Data'!$C$29*100</f>
        <v/>
      </c>
      <c r="E27" s="21">
        <f>'Financial Data'!E29/'Financial Data'!$C$29*100</f>
        <v/>
      </c>
      <c r="F27" s="21">
        <f>'Financial Data'!F29/'Financial Data'!$C$29*100</f>
        <v/>
      </c>
      <c r="G27" s="21">
        <f>'Financial Data'!G29/'Financial Data'!$C$29*100</f>
        <v/>
      </c>
    </row>
    <row r="28">
      <c r="A28" s="6" t="inlineStr">
        <is>
          <t>Total Liabilities</t>
        </is>
      </c>
      <c r="C28" s="21">
        <f>'Financial Data'!C38/'Financial Data'!$C$38*100</f>
        <v/>
      </c>
      <c r="D28" s="21">
        <f>'Financial Data'!D38/'Financial Data'!$C$38*100</f>
        <v/>
      </c>
      <c r="E28" s="21">
        <f>'Financial Data'!E38/'Financial Data'!$C$38*100</f>
        <v/>
      </c>
      <c r="F28" s="21">
        <f>'Financial Data'!F38/'Financial Data'!$C$38*100</f>
        <v/>
      </c>
      <c r="G28" s="21">
        <f>'Financial Data'!G38/'Financial Data'!$C$38*100</f>
        <v/>
      </c>
    </row>
    <row r="29">
      <c r="A29" s="6" t="inlineStr">
        <is>
          <t>Total Shareholders' Equity</t>
        </is>
      </c>
      <c r="C29" s="21">
        <f>'Financial Data'!C39/'Financial Data'!$C$39*100</f>
        <v/>
      </c>
      <c r="D29" s="21">
        <f>'Financial Data'!D39/'Financial Data'!$C$39*100</f>
        <v/>
      </c>
      <c r="E29" s="21">
        <f>'Financial Data'!E39/'Financial Data'!$C$39*100</f>
        <v/>
      </c>
      <c r="F29" s="21">
        <f>'Financial Data'!F39/'Financial Data'!$C$39*100</f>
        <v/>
      </c>
      <c r="G29" s="21">
        <f>'Financial Data'!G39/'Financial Data'!$C$39*100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
  <sheetViews>
    <sheetView showGridLines="0"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 customWidth="1" min="2" max="2"/>
    <col width="13" customWidth="1" min="3" max="3"/>
    <col width="13" customWidth="1" min="4" max="4"/>
    <col width="13" customWidth="1" min="5" max="5"/>
    <col width="13" customWidth="1" min="6" max="6"/>
    <col width="13" customWidth="1" min="7" max="7"/>
    <col width="2" customWidth="1" min="8" max="8"/>
    <col width="58" customWidth="1" min="9" max="9"/>
  </cols>
  <sheetData>
    <row r="1" ht="22" customHeight="1">
      <c r="A1" s="1" t="inlineStr">
        <is>
          <t>Ratio Analysis</t>
        </is>
      </c>
      <c r="B1" s="2" t="n"/>
      <c r="C1" s="2" t="n"/>
      <c r="D1" s="2" t="n"/>
      <c r="E1" s="2" t="n"/>
      <c r="F1" s="2" t="n"/>
      <c r="G1" s="2" t="n"/>
      <c r="H1" s="2" t="n"/>
      <c r="I1" s="2" t="n"/>
    </row>
    <row r="2">
      <c r="A2" s="3" t="inlineStr">
        <is>
          <t>Fourteen ratios, all five years, plus the DuPont decomposition.</t>
        </is>
      </c>
    </row>
    <row r="8">
      <c r="A8" s="9" t="inlineStr">
        <is>
          <t>Fiscal Year</t>
        </is>
      </c>
      <c r="C8" s="15">
        <f>'Financial Data'!C8</f>
        <v/>
      </c>
      <c r="D8" s="15">
        <f>'Financial Data'!D8</f>
        <v/>
      </c>
      <c r="E8" s="15">
        <f>'Financial Data'!E8</f>
        <v/>
      </c>
      <c r="F8" s="15">
        <f>'Financial Data'!F8</f>
        <v/>
      </c>
      <c r="G8" s="15">
        <f>'Financial Data'!G8</f>
        <v/>
      </c>
    </row>
    <row r="9">
      <c r="A9" s="9" t="inlineStr">
        <is>
          <t>LIQUIDITY</t>
        </is>
      </c>
    </row>
    <row r="10">
      <c r="A10" s="6" t="inlineStr">
        <is>
          <t>Current Ratio</t>
        </is>
      </c>
      <c r="C10" s="22">
        <f>'Financial Data'!C25/'Financial Data'!C35</f>
        <v/>
      </c>
      <c r="D10" s="22">
        <f>'Financial Data'!D25/'Financial Data'!D35</f>
        <v/>
      </c>
      <c r="E10" s="22">
        <f>'Financial Data'!E25/'Financial Data'!E35</f>
        <v/>
      </c>
      <c r="F10" s="22">
        <f>'Financial Data'!F25/'Financial Data'!F35</f>
        <v/>
      </c>
      <c r="G10" s="22">
        <f>'Financial Data'!G25/'Financial Data'!G35</f>
        <v/>
      </c>
      <c r="I10" s="23" t="inlineStr">
        <is>
          <t>Total Current Assets / Total Current Liabilities</t>
        </is>
      </c>
    </row>
    <row r="11">
      <c r="A11" s="6" t="inlineStr">
        <is>
          <t>Quick Ratio</t>
        </is>
      </c>
      <c r="C11" s="22">
        <f>('Financial Data'!C25-'Financial Data'!C23)/'Financial Data'!C35</f>
        <v/>
      </c>
      <c r="D11" s="22">
        <f>('Financial Data'!D25-'Financial Data'!D23)/'Financial Data'!D35</f>
        <v/>
      </c>
      <c r="E11" s="22">
        <f>('Financial Data'!E25-'Financial Data'!E23)/'Financial Data'!E35</f>
        <v/>
      </c>
      <c r="F11" s="22">
        <f>('Financial Data'!F25-'Financial Data'!F23)/'Financial Data'!F35</f>
        <v/>
      </c>
      <c r="G11" s="22">
        <f>('Financial Data'!G25-'Financial Data'!G23)/'Financial Data'!G35</f>
        <v/>
      </c>
      <c r="I11" s="23" t="inlineStr">
        <is>
          <t>(Total Current Assets - Inventory) / Total Current Liabilities</t>
        </is>
      </c>
    </row>
    <row r="12">
      <c r="A12" s="6" t="inlineStr">
        <is>
          <t>Cash Ratio</t>
        </is>
      </c>
      <c r="C12" s="22">
        <f>'Financial Data'!C21/'Financial Data'!C35</f>
        <v/>
      </c>
      <c r="D12" s="22">
        <f>'Financial Data'!D21/'Financial Data'!D35</f>
        <v/>
      </c>
      <c r="E12" s="22">
        <f>'Financial Data'!E21/'Financial Data'!E35</f>
        <v/>
      </c>
      <c r="F12" s="22">
        <f>'Financial Data'!F21/'Financial Data'!F35</f>
        <v/>
      </c>
      <c r="G12" s="22">
        <f>'Financial Data'!G21/'Financial Data'!G35</f>
        <v/>
      </c>
      <c r="I12" s="23" t="inlineStr">
        <is>
          <t>Cash &amp; Short-Term Investments / Total Current Liabilities</t>
        </is>
      </c>
    </row>
    <row r="14">
      <c r="A14" s="9" t="inlineStr">
        <is>
          <t>LEVERAGE</t>
        </is>
      </c>
    </row>
    <row r="15">
      <c r="A15" s="6" t="inlineStr">
        <is>
          <t>Debt Ratio</t>
        </is>
      </c>
      <c r="C15" s="16">
        <f>'Financial Data'!C38/'Financial Data'!C29</f>
        <v/>
      </c>
      <c r="D15" s="16">
        <f>'Financial Data'!D38/'Financial Data'!D29</f>
        <v/>
      </c>
      <c r="E15" s="16">
        <f>'Financial Data'!E38/'Financial Data'!E29</f>
        <v/>
      </c>
      <c r="F15" s="16">
        <f>'Financial Data'!F38/'Financial Data'!F29</f>
        <v/>
      </c>
      <c r="G15" s="16">
        <f>'Financial Data'!G38/'Financial Data'!G29</f>
        <v/>
      </c>
      <c r="I15" s="23" t="inlineStr">
        <is>
          <t>Total Liabilities / Total Assets</t>
        </is>
      </c>
    </row>
    <row r="16">
      <c r="A16" s="6" t="inlineStr">
        <is>
          <t>Debt-to-Equity</t>
        </is>
      </c>
      <c r="C16" s="22">
        <f>'Financial Data'!C38/'Financial Data'!C39</f>
        <v/>
      </c>
      <c r="D16" s="22">
        <f>'Financial Data'!D38/'Financial Data'!D39</f>
        <v/>
      </c>
      <c r="E16" s="22">
        <f>'Financial Data'!E38/'Financial Data'!E39</f>
        <v/>
      </c>
      <c r="F16" s="22">
        <f>'Financial Data'!F38/'Financial Data'!F39</f>
        <v/>
      </c>
      <c r="G16" s="22">
        <f>'Financial Data'!G38/'Financial Data'!G39</f>
        <v/>
      </c>
      <c r="I16" s="23" t="inlineStr">
        <is>
          <t>Total Liabilities / Total Shareholders' Equity</t>
        </is>
      </c>
    </row>
    <row r="17">
      <c r="A17" s="6" t="inlineStr">
        <is>
          <t>Equity Multiplier</t>
        </is>
      </c>
      <c r="C17" s="22">
        <f>'Financial Data'!C29/'Financial Data'!C39</f>
        <v/>
      </c>
      <c r="D17" s="22">
        <f>'Financial Data'!D29/'Financial Data'!D39</f>
        <v/>
      </c>
      <c r="E17" s="22">
        <f>'Financial Data'!E29/'Financial Data'!E39</f>
        <v/>
      </c>
      <c r="F17" s="22">
        <f>'Financial Data'!F29/'Financial Data'!F39</f>
        <v/>
      </c>
      <c r="G17" s="22">
        <f>'Financial Data'!G29/'Financial Data'!G39</f>
        <v/>
      </c>
      <c r="I17" s="23" t="inlineStr">
        <is>
          <t>Total Assets / Total Shareholders' Equity</t>
        </is>
      </c>
    </row>
    <row r="18">
      <c r="A18" s="6" t="inlineStr">
        <is>
          <t>Times Interest Earned</t>
        </is>
      </c>
      <c r="C18" s="22">
        <f>'Financial Data'!C14/'Financial Data'!C15</f>
        <v/>
      </c>
      <c r="D18" s="22">
        <f>'Financial Data'!D14/'Financial Data'!D15</f>
        <v/>
      </c>
      <c r="E18" s="22">
        <f>'Financial Data'!E14/'Financial Data'!E15</f>
        <v/>
      </c>
      <c r="F18" s="22">
        <f>'Financial Data'!F14/'Financial Data'!F15</f>
        <v/>
      </c>
      <c r="G18" s="22">
        <f>'Financial Data'!G14/'Financial Data'!G15</f>
        <v/>
      </c>
      <c r="I18" s="23" t="inlineStr">
        <is>
          <t>Operating Income (EBIT) / Interest Expense</t>
        </is>
      </c>
    </row>
    <row r="20">
      <c r="A20" s="9" t="inlineStr">
        <is>
          <t>PROFITABILITY</t>
        </is>
      </c>
    </row>
    <row r="21">
      <c r="A21" s="6" t="inlineStr">
        <is>
          <t>Gross Margin</t>
        </is>
      </c>
      <c r="C21" s="16">
        <f>'Financial Data'!C12/'Financial Data'!C10</f>
        <v/>
      </c>
      <c r="D21" s="16">
        <f>'Financial Data'!D12/'Financial Data'!D10</f>
        <v/>
      </c>
      <c r="E21" s="16">
        <f>'Financial Data'!E12/'Financial Data'!E10</f>
        <v/>
      </c>
      <c r="F21" s="16">
        <f>'Financial Data'!F12/'Financial Data'!F10</f>
        <v/>
      </c>
      <c r="G21" s="16">
        <f>'Financial Data'!G12/'Financial Data'!G10</f>
        <v/>
      </c>
      <c r="I21" s="23" t="inlineStr">
        <is>
          <t>Gross Profit / Revenue</t>
        </is>
      </c>
    </row>
    <row r="22">
      <c r="A22" s="6" t="inlineStr">
        <is>
          <t>Operating Margin</t>
        </is>
      </c>
      <c r="C22" s="16">
        <f>'Financial Data'!C14/'Financial Data'!C10</f>
        <v/>
      </c>
      <c r="D22" s="16">
        <f>'Financial Data'!D14/'Financial Data'!D10</f>
        <v/>
      </c>
      <c r="E22" s="16">
        <f>'Financial Data'!E14/'Financial Data'!E10</f>
        <v/>
      </c>
      <c r="F22" s="16">
        <f>'Financial Data'!F14/'Financial Data'!F10</f>
        <v/>
      </c>
      <c r="G22" s="16">
        <f>'Financial Data'!G14/'Financial Data'!G10</f>
        <v/>
      </c>
      <c r="I22" s="23" t="inlineStr">
        <is>
          <t>Operating Income (EBIT) / Revenue</t>
        </is>
      </c>
    </row>
    <row r="23">
      <c r="A23" s="6" t="inlineStr">
        <is>
          <t>Net Profit Margin</t>
        </is>
      </c>
      <c r="C23" s="16">
        <f>'Financial Data'!C18/'Financial Data'!C10</f>
        <v/>
      </c>
      <c r="D23" s="16">
        <f>'Financial Data'!D18/'Financial Data'!D10</f>
        <v/>
      </c>
      <c r="E23" s="16">
        <f>'Financial Data'!E18/'Financial Data'!E10</f>
        <v/>
      </c>
      <c r="F23" s="16">
        <f>'Financial Data'!F18/'Financial Data'!F10</f>
        <v/>
      </c>
      <c r="G23" s="16">
        <f>'Financial Data'!G18/'Financial Data'!G10</f>
        <v/>
      </c>
      <c r="I23" s="23" t="inlineStr">
        <is>
          <t>Net Income / Revenue</t>
        </is>
      </c>
    </row>
    <row r="24">
      <c r="A24" s="6" t="inlineStr">
        <is>
          <t>Return on Assets (ROA)</t>
        </is>
      </c>
      <c r="C24" s="16">
        <f>'Financial Data'!C18/'Financial Data'!C29</f>
        <v/>
      </c>
      <c r="D24" s="16">
        <f>'Financial Data'!D18/'Financial Data'!D29</f>
        <v/>
      </c>
      <c r="E24" s="16">
        <f>'Financial Data'!E18/'Financial Data'!E29</f>
        <v/>
      </c>
      <c r="F24" s="16">
        <f>'Financial Data'!F18/'Financial Data'!F29</f>
        <v/>
      </c>
      <c r="G24" s="16">
        <f>'Financial Data'!G18/'Financial Data'!G29</f>
        <v/>
      </c>
      <c r="I24" s="23" t="inlineStr">
        <is>
          <t>Net Income / Total Assets</t>
        </is>
      </c>
    </row>
    <row r="25">
      <c r="A25" s="6" t="inlineStr">
        <is>
          <t>Return on Equity (ROE)</t>
        </is>
      </c>
      <c r="C25" s="16">
        <f>'Financial Data'!C18/'Financial Data'!C39</f>
        <v/>
      </c>
      <c r="D25" s="16">
        <f>'Financial Data'!D18/'Financial Data'!D39</f>
        <v/>
      </c>
      <c r="E25" s="16">
        <f>'Financial Data'!E18/'Financial Data'!E39</f>
        <v/>
      </c>
      <c r="F25" s="16">
        <f>'Financial Data'!F18/'Financial Data'!F39</f>
        <v/>
      </c>
      <c r="G25" s="16">
        <f>'Financial Data'!G18/'Financial Data'!G39</f>
        <v/>
      </c>
      <c r="I25" s="23" t="inlineStr">
        <is>
          <t>Net Income / Total Shareholders' Equity</t>
        </is>
      </c>
    </row>
    <row r="27">
      <c r="A27" s="9" t="inlineStr">
        <is>
          <t>EFFICIENCY</t>
        </is>
      </c>
    </row>
    <row r="28">
      <c r="A28" s="6" t="inlineStr">
        <is>
          <t>Inventory Turnover</t>
        </is>
      </c>
      <c r="C28" s="22">
        <f>'Financial Data'!C11/'Financial Data'!C23</f>
        <v/>
      </c>
      <c r="D28" s="22">
        <f>'Financial Data'!D11/'Financial Data'!D23</f>
        <v/>
      </c>
      <c r="E28" s="22">
        <f>'Financial Data'!E11/'Financial Data'!E23</f>
        <v/>
      </c>
      <c r="F28" s="22">
        <f>'Financial Data'!F11/'Financial Data'!F23</f>
        <v/>
      </c>
      <c r="G28" s="22">
        <f>'Financial Data'!G11/'Financial Data'!G23</f>
        <v/>
      </c>
      <c r="I28" s="23" t="inlineStr">
        <is>
          <t>Cost of Revenue (COGS) / Inventory</t>
        </is>
      </c>
    </row>
    <row r="29">
      <c r="A29" s="6" t="inlineStr">
        <is>
          <t>Total Asset Turnover</t>
        </is>
      </c>
      <c r="C29" s="22">
        <f>'Financial Data'!C10/'Financial Data'!C29</f>
        <v/>
      </c>
      <c r="D29" s="22">
        <f>'Financial Data'!D10/'Financial Data'!D29</f>
        <v/>
      </c>
      <c r="E29" s="22">
        <f>'Financial Data'!E10/'Financial Data'!E29</f>
        <v/>
      </c>
      <c r="F29" s="22">
        <f>'Financial Data'!F10/'Financial Data'!F29</f>
        <v/>
      </c>
      <c r="G29" s="22">
        <f>'Financial Data'!G10/'Financial Data'!G29</f>
        <v/>
      </c>
      <c r="I29" s="23" t="inlineStr">
        <is>
          <t>Revenue / Total Assets</t>
        </is>
      </c>
    </row>
    <row r="31">
      <c r="A31" s="17" t="inlineStr">
        <is>
          <t>DUPONT DECOMPOSITION  -  ROE = Net Profit Margin x Total Asset Turnover x Equity Multiplier</t>
        </is>
      </c>
      <c r="B31" s="18" t="n"/>
      <c r="C31" s="18" t="n"/>
      <c r="D31" s="18" t="n"/>
      <c r="E31" s="18" t="n"/>
      <c r="F31" s="18" t="n"/>
      <c r="G31" s="18" t="n"/>
      <c r="H31" s="18" t="n"/>
      <c r="I31" s="18" t="n"/>
    </row>
    <row r="32">
      <c r="A32" s="9" t="inlineStr">
        <is>
          <t>Fiscal Year</t>
        </is>
      </c>
      <c r="C32" s="15">
        <f>'Financial Data'!C8</f>
        <v/>
      </c>
      <c r="D32" s="15">
        <f>'Financial Data'!D8</f>
        <v/>
      </c>
      <c r="E32" s="15">
        <f>'Financial Data'!E8</f>
        <v/>
      </c>
      <c r="F32" s="15">
        <f>'Financial Data'!F8</f>
        <v/>
      </c>
      <c r="G32" s="15">
        <f>'Financial Data'!G8</f>
        <v/>
      </c>
    </row>
    <row r="33">
      <c r="A33" s="6" t="inlineStr">
        <is>
          <t>Net Profit Margin</t>
        </is>
      </c>
      <c r="C33" s="16">
        <f>C23</f>
        <v/>
      </c>
      <c r="D33" s="16">
        <f>D23</f>
        <v/>
      </c>
      <c r="E33" s="16">
        <f>E23</f>
        <v/>
      </c>
      <c r="F33" s="16">
        <f>F23</f>
        <v/>
      </c>
      <c r="G33" s="16">
        <f>G23</f>
        <v/>
      </c>
      <c r="I33" s="24" t="inlineStr">
        <is>
          <t>pull it from the Profitability block above</t>
        </is>
      </c>
    </row>
    <row r="34">
      <c r="A34" s="6" t="inlineStr">
        <is>
          <t>x  Total Asset Turnover</t>
        </is>
      </c>
      <c r="C34" s="22">
        <f>C29</f>
        <v/>
      </c>
      <c r="D34" s="22">
        <f>D29</f>
        <v/>
      </c>
      <c r="E34" s="22">
        <f>E29</f>
        <v/>
      </c>
      <c r="F34" s="22">
        <f>F29</f>
        <v/>
      </c>
      <c r="G34" s="22">
        <f>G29</f>
        <v/>
      </c>
      <c r="I34" s="24" t="inlineStr">
        <is>
          <t>pull it from the Efficiency block above</t>
        </is>
      </c>
    </row>
    <row r="35">
      <c r="A35" s="6" t="inlineStr">
        <is>
          <t>x  Equity Multiplier</t>
        </is>
      </c>
      <c r="C35" s="22">
        <f>C17</f>
        <v/>
      </c>
      <c r="D35" s="22">
        <f>D17</f>
        <v/>
      </c>
      <c r="E35" s="22">
        <f>E17</f>
        <v/>
      </c>
      <c r="F35" s="22">
        <f>F17</f>
        <v/>
      </c>
      <c r="G35" s="22">
        <f>G17</f>
        <v/>
      </c>
      <c r="I35" s="24" t="inlineStr">
        <is>
          <t>pull it from the Leverage block above</t>
        </is>
      </c>
    </row>
    <row r="36">
      <c r="A36" s="6">
        <f>  ROE (from DuPont)</f>
        <v/>
      </c>
      <c r="C36" s="16">
        <f>C33*C34*C35</f>
        <v/>
      </c>
      <c r="D36" s="16">
        <f>D33*D34*D35</f>
        <v/>
      </c>
      <c r="E36" s="16">
        <f>E33*E34*E35</f>
        <v/>
      </c>
      <c r="F36" s="16">
        <f>F33*F34*F35</f>
        <v/>
      </c>
      <c r="G36" s="16">
        <f>G33*G34*G35</f>
        <v/>
      </c>
      <c r="I36" s="24" t="inlineStr">
        <is>
          <t>multiply the three rows above</t>
        </is>
      </c>
    </row>
    <row r="37">
      <c r="A37" s="6" t="inlineStr">
        <is>
          <t>ROE (from Profitability block)</t>
        </is>
      </c>
      <c r="C37" s="16">
        <f>C25</f>
        <v/>
      </c>
      <c r="D37" s="16">
        <f>D25</f>
        <v/>
      </c>
      <c r="E37" s="16">
        <f>E25</f>
        <v/>
      </c>
      <c r="F37" s="16">
        <f>F25</f>
        <v/>
      </c>
      <c r="G37" s="16">
        <f>G25</f>
        <v/>
      </c>
      <c r="I37" s="24" t="inlineStr">
        <is>
          <t>link to the ROE row above</t>
        </is>
      </c>
    </row>
    <row r="38">
      <c r="A38" s="25" t="inlineStr">
        <is>
          <t>CHECK: difference</t>
        </is>
      </c>
      <c r="C38" s="26">
        <f>C36-C37</f>
        <v/>
      </c>
      <c r="D38" s="26">
        <f>D36-D37</f>
        <v/>
      </c>
      <c r="E38" s="26">
        <f>E36-E37</f>
        <v/>
      </c>
      <c r="F38" s="26">
        <f>F36-F37</f>
        <v/>
      </c>
      <c r="G38" s="26">
        <f>G36-G37</f>
        <v/>
      </c>
      <c r="I38" s="24" t="inlineStr">
        <is>
          <t>the two ROE rows minus each other - must be 0.00%</t>
        </is>
      </c>
    </row>
    <row r="40">
      <c r="A40" s="5" t="inlineStr">
        <is>
          <t>If the CHECK row is not zero, one of the three components is wrong. That is the point of the check - it catches your error before I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2026-09-17T22:31:31Z</dcterms:created>
  <dcterms:modified xmlns:dcterms="http://purl.org/dc/terms/" xmlns:xsi="http://www.w3.org/2001/XMLSchema-instance" xsi:type="dcterms:W3CDTF">2026-09-19T22:45:32Z</dcterms:modified>
</cp:coreProperties>
</file>